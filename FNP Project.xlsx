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F11647E37E2ECD67/文档/"/>
    </mc:Choice>
  </mc:AlternateContent>
  <xr:revisionPtr revIDLastSave="753" documentId="8_{18885E19-D415-4E0B-A2F6-3D87CEBBE784}" xr6:coauthVersionLast="47" xr6:coauthVersionMax="47" xr10:uidLastSave="{EFAB6999-D3E6-4AFD-8573-50F6B6B5FA9C}"/>
  <bookViews>
    <workbookView xWindow="-120" yWindow="-120" windowWidth="26640" windowHeight="14370" tabRatio="590" activeTab="1" xr2:uid="{7B864466-0528-4576-A56A-6EAD71C38FB5}"/>
  </bookViews>
  <sheets>
    <sheet name="Sheet1" sheetId="1" r:id="rId1"/>
    <sheet name="Dashboard " sheetId="6" r:id="rId2"/>
  </sheets>
  <definedNames>
    <definedName name="Slicer_Occasion">#N/A</definedName>
    <definedName name="Timeline_Delivery_Date">#N/A</definedName>
    <definedName name="Timeline_Order_D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f0efa187-38cd-43e7-b5f7-587f4b74b61a" name="fnp datasets" connection="Query - fnp datasets"/>
          <x15:modelTable id="coustomer_f2d6e509-322a-4ad9-9824-d1acd843fbcc" name="coustomer" connection="Query - coustomer"/>
          <x15:modelTable id="orders_f7129657-0366-4d97-95c8-daca10632293" name="orders" connection="Query - orders"/>
          <x15:modelTable id="products_b7536739-06f2-45b2-8bc3-d5eaa0a76431" name="products" connection="Query - products"/>
        </x15:modelTables>
        <x15:modelRelationships>
          <x15:modelRelationship fromTable="orders" fromColumn="Customer_ID" toTable="co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BF3A65-0E40-490D-9A8D-7B728C07E6A0}" name="Query - coustomer" description="Connection to the 'coustomer' query in the workbook." type="100" refreshedVersion="8" minRefreshableVersion="5">
    <extLst>
      <ext xmlns:x15="http://schemas.microsoft.com/office/spreadsheetml/2010/11/main" uri="{DE250136-89BD-433C-8126-D09CA5730AF9}">
        <x15:connection id="1901731d-776d-4311-a7c9-ec63a98f6458"/>
      </ext>
    </extLst>
  </connection>
  <connection id="2" xr16:uid="{AB236972-7E31-4598-AD39-EC13B9744A91}" name="Query - fnp datasets" description="Connection to the 'fnp datasets' query in the workbook." type="100" refreshedVersion="8" minRefreshableVersion="5">
    <extLst>
      <ext xmlns:x15="http://schemas.microsoft.com/office/spreadsheetml/2010/11/main" uri="{DE250136-89BD-433C-8126-D09CA5730AF9}">
        <x15:connection id="60d2e744-e840-4cd2-afab-9f2962978553"/>
      </ext>
    </extLst>
  </connection>
  <connection id="3" xr16:uid="{30C1EBE3-B65E-48DE-B9A2-2131C96C95F9}" name="Query - orders" description="Connection to the 'orders' query in the workbook." type="100" refreshedVersion="8" minRefreshableVersion="5">
    <extLst>
      <ext xmlns:x15="http://schemas.microsoft.com/office/spreadsheetml/2010/11/main" uri="{DE250136-89BD-433C-8126-D09CA5730AF9}">
        <x15:connection id="7bbc05e9-75ad-4169-b20d-60fb61d87749"/>
      </ext>
    </extLst>
  </connection>
  <connection id="4" xr16:uid="{DC7F9DD2-044E-493D-A481-06D2DC431B7F}" name="Query - products" description="Connection to the 'products' query in the workbook." type="100" refreshedVersion="8" minRefreshableVersion="5">
    <extLst>
      <ext xmlns:x15="http://schemas.microsoft.com/office/spreadsheetml/2010/11/main" uri="{DE250136-89BD-433C-8126-D09CA5730AF9}">
        <x15:connection id="bb30d553-50d7-48a1-a937-2c98f47f031e"/>
      </ext>
    </extLst>
  </connection>
  <connection id="5" xr16:uid="{43BF800C-859C-43CD-A9E9-B6FFDC57DC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<sst xmlns="http://schemas.openxmlformats.org/spreadsheetml/2006/main" count="79" uniqueCount="64">
  <si>
    <t>Bilaspur</t>
  </si>
  <si>
    <t>Bidhannagar</t>
  </si>
  <si>
    <t>Kavali</t>
  </si>
  <si>
    <t>Haridwar</t>
  </si>
  <si>
    <t>Bhatpara</t>
  </si>
  <si>
    <t>Dibrugarh</t>
  </si>
  <si>
    <t>Guntakal</t>
  </si>
  <si>
    <t>Imphal</t>
  </si>
  <si>
    <t>Dhanbad</t>
  </si>
  <si>
    <t>North Dumdum</t>
  </si>
  <si>
    <t>Valentine's Day</t>
  </si>
  <si>
    <t>February</t>
  </si>
  <si>
    <t>Anniversary</t>
  </si>
  <si>
    <t>All Occasions</t>
  </si>
  <si>
    <t>Holi</t>
  </si>
  <si>
    <t>Birthday</t>
  </si>
  <si>
    <t>March</t>
  </si>
  <si>
    <t>Raksha Bandhan</t>
  </si>
  <si>
    <t>August</t>
  </si>
  <si>
    <t>November</t>
  </si>
  <si>
    <t>Diwali</t>
  </si>
  <si>
    <t>December</t>
  </si>
  <si>
    <t>April</t>
  </si>
  <si>
    <t>July</t>
  </si>
  <si>
    <t>May</t>
  </si>
  <si>
    <t>June</t>
  </si>
  <si>
    <t>January</t>
  </si>
  <si>
    <t>September</t>
  </si>
  <si>
    <t>October</t>
  </si>
  <si>
    <t>Magnam Set</t>
  </si>
  <si>
    <t>Soft Toys</t>
  </si>
  <si>
    <t>Plants</t>
  </si>
  <si>
    <t>Colors</t>
  </si>
  <si>
    <t>Sweets</t>
  </si>
  <si>
    <t>Cake</t>
  </si>
  <si>
    <t>Mugs</t>
  </si>
  <si>
    <t>Deserunt Box</t>
  </si>
  <si>
    <t>Quia Gift</t>
  </si>
  <si>
    <t>Harum Pack</t>
  </si>
  <si>
    <t>Dolores Gift</t>
  </si>
  <si>
    <t>Grand Total</t>
  </si>
  <si>
    <t>category</t>
  </si>
  <si>
    <t>Saturday</t>
  </si>
  <si>
    <t>Wednesday</t>
  </si>
  <si>
    <t>Friday</t>
  </si>
  <si>
    <t>Sunday</t>
  </si>
  <si>
    <t>Monday</t>
  </si>
  <si>
    <t>Tuesday</t>
  </si>
  <si>
    <t>Thursday</t>
  </si>
  <si>
    <t>Sum of Revenue</t>
  </si>
  <si>
    <t>Total Revenue</t>
  </si>
  <si>
    <t>Average of diff_orders_delivery</t>
  </si>
  <si>
    <t>Sum of l Revenue</t>
  </si>
  <si>
    <t>ans 3.</t>
  </si>
  <si>
    <t>ans 4.</t>
  </si>
  <si>
    <t>Average of coustomer spending</t>
  </si>
  <si>
    <t>ans 6</t>
  </si>
  <si>
    <t>ans 7</t>
  </si>
  <si>
    <t>Count of Order_ID</t>
  </si>
  <si>
    <t>ans 8</t>
  </si>
  <si>
    <t>ans 9</t>
  </si>
  <si>
    <t>ans 10</t>
  </si>
  <si>
    <t>ans11</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</si>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</sst>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11/relationships/timelineCache" Target="timelineCaches/timeline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Revenue by ocassions </a:t>
            </a:r>
          </a:p>
        </c:rich>
      </c:tx>
      <c:layout>
        <c:manualLayout>
          <c:xMode val="edge"/>
          <c:yMode val="edge"/>
          <c:x val="0.32040966754155731"/>
          <c:y val="2.6936026936026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c:f>
              <c:strCache>
                <c:ptCount val="1"/>
                <c:pt idx="0">
                  <c:v>Total</c:v>
                </c:pt>
              </c:strCache>
            </c:strRef>
          </c:tx>
          <c:spPr>
            <a:solidFill>
              <a:schemeClr val="accent1"/>
            </a:solidFill>
            <a:ln>
              <a:noFill/>
            </a:ln>
            <a:effectLst/>
          </c:spPr>
          <c:invertIfNegative val="0"/>
          <c:cat>
            <c:strRef>
              <c:f>Sheet1!$G$11:$G$18</c:f>
              <c:strCache>
                <c:ptCount val="7"/>
                <c:pt idx="0">
                  <c:v>All Occasions</c:v>
                </c:pt>
                <c:pt idx="1">
                  <c:v>Anniversary</c:v>
                </c:pt>
                <c:pt idx="2">
                  <c:v>Birthday</c:v>
                </c:pt>
                <c:pt idx="3">
                  <c:v>Diwali</c:v>
                </c:pt>
                <c:pt idx="4">
                  <c:v>Holi</c:v>
                </c:pt>
                <c:pt idx="5">
                  <c:v>Raksha Bandhan</c:v>
                </c:pt>
                <c:pt idx="6">
                  <c:v>Valentine's Day</c:v>
                </c:pt>
              </c:strCache>
            </c:strRef>
          </c:cat>
          <c:val>
            <c:numRef>
              <c:f>Sheet1!$H$11:$H$18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ECE-4548-B414-796C84DF5C7C}"/>
            </c:ext>
          </c:extLst>
        </c:ser>
        <c:dLbls>
          <c:showLegendKey val="0"/>
          <c:showVal val="0"/>
          <c:showCatName val="0"/>
          <c:showSerName val="0"/>
          <c:showPercent val="0"/>
          <c:showBubbleSize val="0"/>
        </c:dLbls>
        <c:gapWidth val="219"/>
        <c:overlap val="-27"/>
        <c:axId val="1239150255"/>
        <c:axId val="1239149295"/>
      </c:barChart>
      <c:catAx>
        <c:axId val="123915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9149295"/>
        <c:crosses val="autoZero"/>
        <c:auto val="1"/>
        <c:lblAlgn val="ctr"/>
        <c:lblOffset val="100"/>
        <c:noMultiLvlLbl val="0"/>
      </c:catAx>
      <c:valAx>
        <c:axId val="1239149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9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Project.xlsx]Sheet1!PivotTable6</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category </a:t>
            </a:r>
          </a:p>
        </c:rich>
      </c:tx>
      <c:layout>
        <c:manualLayout>
          <c:xMode val="edge"/>
          <c:yMode val="edge"/>
          <c:x val="0.3360000000000000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Sheet1!$D$17:$D$24</c:f>
              <c:strCache>
                <c:ptCount val="7"/>
                <c:pt idx="0">
                  <c:v>Cake</c:v>
                </c:pt>
                <c:pt idx="1">
                  <c:v>Colors</c:v>
                </c:pt>
                <c:pt idx="2">
                  <c:v>Mugs</c:v>
                </c:pt>
                <c:pt idx="3">
                  <c:v>Plants</c:v>
                </c:pt>
                <c:pt idx="4">
                  <c:v>Raksha Bandhan</c:v>
                </c:pt>
                <c:pt idx="5">
                  <c:v>Soft Toys</c:v>
                </c:pt>
                <c:pt idx="6">
                  <c:v>Sweets</c:v>
                </c:pt>
              </c:strCache>
            </c:strRef>
          </c:cat>
          <c:val>
            <c:numRef>
              <c:f>Sheet1!$E$17:$E$24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70D-41ED-B508-63BEC06E01F9}"/>
            </c:ext>
          </c:extLst>
        </c:ser>
        <c:dLbls>
          <c:showLegendKey val="0"/>
          <c:showVal val="0"/>
          <c:showCatName val="0"/>
          <c:showSerName val="0"/>
          <c:showPercent val="0"/>
          <c:showBubbleSize val="0"/>
        </c:dLbls>
        <c:gapWidth val="219"/>
        <c:overlap val="-27"/>
        <c:axId val="1647827535"/>
        <c:axId val="1647828015"/>
      </c:barChart>
      <c:catAx>
        <c:axId val="16478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828015"/>
        <c:crosses val="autoZero"/>
        <c:auto val="1"/>
        <c:lblAlgn val="ctr"/>
        <c:lblOffset val="100"/>
        <c:noMultiLvlLbl val="0"/>
      </c:catAx>
      <c:valAx>
        <c:axId val="1647828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8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39B-43EE-A5F5-DC6EF4A40913}"/>
            </c:ext>
          </c:extLst>
        </c:ser>
        <c:dLbls>
          <c:showLegendKey val="0"/>
          <c:showVal val="0"/>
          <c:showCatName val="0"/>
          <c:showSerName val="0"/>
          <c:showPercent val="0"/>
          <c:showBubbleSize val="0"/>
        </c:dLbls>
        <c:smooth val="0"/>
        <c:axId val="1221212431"/>
        <c:axId val="1221211951"/>
      </c:lineChart>
      <c:catAx>
        <c:axId val="12212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1211951"/>
        <c:crosses val="autoZero"/>
        <c:auto val="1"/>
        <c:lblAlgn val="ctr"/>
        <c:lblOffset val="100"/>
        <c:noMultiLvlLbl val="0"/>
      </c:catAx>
      <c:valAx>
        <c:axId val="1221211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121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Deserunt Box</c:v>
                </c:pt>
                <c:pt idx="1">
                  <c:v>Dolores Gift</c:v>
                </c:pt>
                <c:pt idx="2">
                  <c:v>Harum Pack</c:v>
                </c:pt>
                <c:pt idx="3">
                  <c:v>Magnam Set</c:v>
                </c:pt>
                <c:pt idx="4">
                  <c:v>Quia Gift</c:v>
                </c:pt>
              </c:strCache>
            </c:strRef>
          </c:cat>
          <c:val>
            <c:numRef>
              <c:f>Sheet1!$E$8:$E$13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F5B-498C-B627-5B41890EF3D3}"/>
            </c:ext>
          </c:extLst>
        </c:ser>
        <c:dLbls>
          <c:showLegendKey val="0"/>
          <c:showVal val="0"/>
          <c:showCatName val="0"/>
          <c:showSerName val="0"/>
          <c:showPercent val="0"/>
          <c:showBubbleSize val="0"/>
        </c:dLbls>
        <c:gapWidth val="219"/>
        <c:overlap val="-27"/>
        <c:axId val="1242428591"/>
        <c:axId val="1242430991"/>
      </c:barChart>
      <c:catAx>
        <c:axId val="124242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2430991"/>
        <c:crosses val="autoZero"/>
        <c:auto val="1"/>
        <c:lblAlgn val="ctr"/>
        <c:lblOffset val="100"/>
        <c:noMultiLvlLbl val="0"/>
      </c:catAx>
      <c:valAx>
        <c:axId val="1242430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242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Project.xlsx]Sheet1!PivotTable8</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cities by ordes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Total</c:v>
                </c:pt>
              </c:strCache>
            </c:strRef>
          </c:tx>
          <c:spPr>
            <a:solidFill>
              <a:schemeClr val="accent1"/>
            </a:solidFill>
            <a:ln>
              <a:noFill/>
            </a:ln>
            <a:effectLst/>
          </c:spPr>
          <c:invertIfNegative val="0"/>
          <c:cat>
            <c:strRef>
              <c:f>Sheet1!$D$27:$D$37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Sheet1!$E$27:$E$37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B6B-43F2-93F9-61F95A334F36}"/>
            </c:ext>
          </c:extLst>
        </c:ser>
        <c:dLbls>
          <c:showLegendKey val="0"/>
          <c:showVal val="0"/>
          <c:showCatName val="0"/>
          <c:showSerName val="0"/>
          <c:showPercent val="0"/>
          <c:showBubbleSize val="0"/>
        </c:dLbls>
        <c:gapWidth val="219"/>
        <c:overlap val="-27"/>
        <c:axId val="235204736"/>
        <c:axId val="235206176"/>
      </c:barChart>
      <c:catAx>
        <c:axId val="2352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5206176"/>
        <c:crosses val="autoZero"/>
        <c:auto val="1"/>
        <c:lblAlgn val="ctr"/>
        <c:lblOffset val="100"/>
        <c:noMultiLvlLbl val="0"/>
      </c:catAx>
      <c:valAx>
        <c:axId val="23520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52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Project.xlsx]Sheet1!PivotTable9</c:name>
    <c:fmtId val="5"/>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Revenue by days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Sheet1!$K$21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5D-45FE-9108-B325C478B0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5D-45FE-9108-B325C478B0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5D-45FE-9108-B325C478B0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5D-45FE-9108-B325C478B0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75D-45FE-9108-B325C478B0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75D-45FE-9108-B325C478B07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75D-45FE-9108-B325C478B0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Sheet1!$J$22:$J$29</c:f>
              <c:strCache>
                <c:ptCount val="7"/>
                <c:pt idx="0">
                  <c:v>Friday</c:v>
                </c:pt>
                <c:pt idx="1">
                  <c:v>Monday</c:v>
                </c:pt>
                <c:pt idx="2">
                  <c:v>Saturday</c:v>
                </c:pt>
                <c:pt idx="3">
                  <c:v>Sunday</c:v>
                </c:pt>
                <c:pt idx="4">
                  <c:v>Thursday</c:v>
                </c:pt>
                <c:pt idx="5">
                  <c:v>Tuesday</c:v>
                </c:pt>
                <c:pt idx="6">
                  <c:v>Wednesday</c:v>
                </c:pt>
              </c:strCache>
            </c:strRef>
          </c:cat>
          <c:val>
            <c:numRef>
              <c:f>Sheet1!$K$22:$K$29</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E-075D-45FE-9108-B325C478B0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962759</xdr:colOff>
      <xdr:row>20</xdr:row>
      <xdr:rowOff>78398</xdr:rowOff>
    </xdr:from>
    <xdr:to>
      <xdr:col>6</xdr:col>
      <xdr:colOff>813290</xdr:colOff>
      <xdr:row>33</xdr:row>
      <xdr:rowOff>126023</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940AC6A8-6C99-E7BD-11B3-1FF1CFFC0FE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871797" y="388839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6</xdr:row>
      <xdr:rowOff>66675</xdr:rowOff>
    </xdr:from>
    <xdr:to>
      <xdr:col>8</xdr:col>
      <xdr:colOff>333375</xdr:colOff>
      <xdr:row>21</xdr:row>
      <xdr:rowOff>28574</xdr:rowOff>
    </xdr:to>
    <xdr:graphicFrame macro="">
      <xdr:nvGraphicFramePr>
        <xdr:cNvPr id="2" name="Chart 1">
          <a:extLst>
            <a:ext uri="{FF2B5EF4-FFF2-40B4-BE49-F238E27FC236}">
              <a16:creationId xmlns:a16="http://schemas.microsoft.com/office/drawing/2014/main" id="{37BEE832-C9D9-48E6-A874-1191D3A16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476250</xdr:colOff>
      <xdr:row>6</xdr:row>
      <xdr:rowOff>38100</xdr:rowOff>
    </xdr:from>
    <xdr:to>
      <xdr:col>16</xdr:col>
      <xdr:colOff>171450</xdr:colOff>
      <xdr:row>21</xdr:row>
      <xdr:rowOff>19050</xdr:rowOff>
    </xdr:to>
    <xdr:graphicFrame macro="">
      <xdr:nvGraphicFramePr>
        <xdr:cNvPr id="3" name="Chart 2">
          <a:extLst>
            <a:ext uri="{FF2B5EF4-FFF2-40B4-BE49-F238E27FC236}">
              <a16:creationId xmlns:a16="http://schemas.microsoft.com/office/drawing/2014/main" id="{D21C3CA2-0220-498C-9BBF-9ADC9F8EF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22</xdr:row>
      <xdr:rowOff>57150</xdr:rowOff>
    </xdr:from>
    <xdr:to>
      <xdr:col>8</xdr:col>
      <xdr:colOff>323850</xdr:colOff>
      <xdr:row>37</xdr:row>
      <xdr:rowOff>161925</xdr:rowOff>
    </xdr:to>
    <xdr:graphicFrame macro="">
      <xdr:nvGraphicFramePr>
        <xdr:cNvPr id="4" name="Chart 3">
          <a:extLst>
            <a:ext uri="{FF2B5EF4-FFF2-40B4-BE49-F238E27FC236}">
              <a16:creationId xmlns:a16="http://schemas.microsoft.com/office/drawing/2014/main" id="{9CEBF430-F14E-42FF-8216-33969B0D0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504825</xdr:colOff>
      <xdr:row>22</xdr:row>
      <xdr:rowOff>57150</xdr:rowOff>
    </xdr:from>
    <xdr:to>
      <xdr:col>16</xdr:col>
      <xdr:colOff>200025</xdr:colOff>
      <xdr:row>37</xdr:row>
      <xdr:rowOff>152400</xdr:rowOff>
    </xdr:to>
    <xdr:graphicFrame macro="">
      <xdr:nvGraphicFramePr>
        <xdr:cNvPr id="5" name="Chart 4">
          <a:extLst>
            <a:ext uri="{FF2B5EF4-FFF2-40B4-BE49-F238E27FC236}">
              <a16:creationId xmlns:a16="http://schemas.microsoft.com/office/drawing/2014/main" id="{661325C8-E32B-49B6-8AA0-A64E42DB8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409575</xdr:colOff>
      <xdr:row>22</xdr:row>
      <xdr:rowOff>9524</xdr:rowOff>
    </xdr:from>
    <xdr:to>
      <xdr:col>23</xdr:col>
      <xdr:colOff>466725</xdr:colOff>
      <xdr:row>37</xdr:row>
      <xdr:rowOff>171449</xdr:rowOff>
    </xdr:to>
    <xdr:graphicFrame macro="">
      <xdr:nvGraphicFramePr>
        <xdr:cNvPr id="6" name="Chart 5">
          <a:extLst>
            <a:ext uri="{FF2B5EF4-FFF2-40B4-BE49-F238E27FC236}">
              <a16:creationId xmlns:a16="http://schemas.microsoft.com/office/drawing/2014/main" id="{01222183-DE86-4459-9309-7D8EA39A6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390525</xdr:colOff>
      <xdr:row>6</xdr:row>
      <xdr:rowOff>38100</xdr:rowOff>
    </xdr:from>
    <xdr:to>
      <xdr:col>23</xdr:col>
      <xdr:colOff>447675</xdr:colOff>
      <xdr:row>20</xdr:row>
      <xdr:rowOff>133350</xdr:rowOff>
    </xdr:to>
    <xdr:graphicFrame macro="">
      <xdr:nvGraphicFramePr>
        <xdr:cNvPr id="7" name="Chart 6">
          <a:extLst>
            <a:ext uri="{FF2B5EF4-FFF2-40B4-BE49-F238E27FC236}">
              <a16:creationId xmlns:a16="http://schemas.microsoft.com/office/drawing/2014/main" id="{FB2B9483-0A9D-4D6F-8189-9DF9497CA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209549</xdr:colOff>
      <xdr:row>1</xdr:row>
      <xdr:rowOff>38100</xdr:rowOff>
    </xdr:from>
    <xdr:to>
      <xdr:col>10</xdr:col>
      <xdr:colOff>333374</xdr:colOff>
      <xdr:row>5</xdr:row>
      <xdr:rowOff>47625</xdr:rowOff>
    </xdr:to>
    <xdr:sp macro="" textlink="">
      <xdr:nvSpPr>
        <xdr:cNvPr id="8" name="Rectangle: Rounded Corners 7">
          <a:extLst>
            <a:ext uri="{FF2B5EF4-FFF2-40B4-BE49-F238E27FC236}">
              <a16:creationId xmlns:a16="http://schemas.microsoft.com/office/drawing/2014/main" id="{8A81AFF6-13A1-9AF8-3CA0-2B86943BFCC7}"/>
            </a:ext>
          </a:extLst>
        </xdr:cNvPr>
        <xdr:cNvSpPr/>
      </xdr:nvSpPr>
      <xdr:spPr>
        <a:xfrm>
          <a:off x="3867149" y="228600"/>
          <a:ext cx="2562225" cy="771525"/>
        </a:xfrm>
        <a:prstGeom prst="roundRect">
          <a:avLst/>
        </a:prstGeom>
        <a:solidFill>
          <a:schemeClr val="accent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1000</a:t>
          </a:r>
        </a:p>
        <a:p>
          <a:pPr algn="ctr"/>
          <a:r>
            <a:rPr lang="en-US" sz="1600" b="1">
              <a:solidFill>
                <a:schemeClr val="tx1"/>
              </a:solidFill>
            </a:rPr>
            <a:t>Total</a:t>
          </a:r>
          <a:r>
            <a:rPr lang="en-US" sz="1600" b="1" baseline="0">
              <a:solidFill>
                <a:schemeClr val="tx1"/>
              </a:solidFill>
            </a:rPr>
            <a:t> orders</a:t>
          </a:r>
          <a:endParaRPr lang="en-US" sz="1600" b="1">
            <a:solidFill>
              <a:schemeClr val="tx1"/>
            </a:solidFill>
          </a:endParaRPr>
        </a:p>
      </xdr:txBody>
    </xdr:sp>
    <xdr:clientData/>
  </xdr:twoCellAnchor>
  <xdr:twoCellAnchor>
    <xdr:from>
      <xdr:col>10</xdr:col>
      <xdr:colOff>438150</xdr:colOff>
      <xdr:row>1</xdr:row>
      <xdr:rowOff>47625</xdr:rowOff>
    </xdr:from>
    <xdr:to>
      <xdr:col>14</xdr:col>
      <xdr:colOff>561975</xdr:colOff>
      <xdr:row>5</xdr:row>
      <xdr:rowOff>57150</xdr:rowOff>
    </xdr:to>
    <xdr:sp macro="" textlink="">
      <xdr:nvSpPr>
        <xdr:cNvPr id="9" name="Rectangle: Rounded Corners 8">
          <a:extLst>
            <a:ext uri="{FF2B5EF4-FFF2-40B4-BE49-F238E27FC236}">
              <a16:creationId xmlns:a16="http://schemas.microsoft.com/office/drawing/2014/main" id="{3F1350EC-BD97-426A-B017-3B9DA4A7232D}"/>
            </a:ext>
          </a:extLst>
        </xdr:cNvPr>
        <xdr:cNvSpPr/>
      </xdr:nvSpPr>
      <xdr:spPr>
        <a:xfrm>
          <a:off x="6534150" y="238125"/>
          <a:ext cx="2562225" cy="771525"/>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35,20,984.00</a:t>
          </a:r>
        </a:p>
        <a:p>
          <a:pPr algn="ctr"/>
          <a:r>
            <a:rPr lang="en-US" sz="1600" b="1">
              <a:solidFill>
                <a:schemeClr val="tx1"/>
              </a:solidFill>
            </a:rPr>
            <a:t>Total</a:t>
          </a:r>
          <a:r>
            <a:rPr lang="en-US" sz="1600" b="1" baseline="0">
              <a:solidFill>
                <a:schemeClr val="tx1"/>
              </a:solidFill>
            </a:rPr>
            <a:t> Revenue</a:t>
          </a:r>
          <a:endParaRPr lang="en-US" sz="1600" b="1">
            <a:solidFill>
              <a:schemeClr val="tx1"/>
            </a:solidFill>
          </a:endParaRPr>
        </a:p>
      </xdr:txBody>
    </xdr:sp>
    <xdr:clientData/>
  </xdr:twoCellAnchor>
  <xdr:twoCellAnchor>
    <xdr:from>
      <xdr:col>15</xdr:col>
      <xdr:colOff>76200</xdr:colOff>
      <xdr:row>1</xdr:row>
      <xdr:rowOff>47625</xdr:rowOff>
    </xdr:from>
    <xdr:to>
      <xdr:col>19</xdr:col>
      <xdr:colOff>200025</xdr:colOff>
      <xdr:row>5</xdr:row>
      <xdr:rowOff>57150</xdr:rowOff>
    </xdr:to>
    <xdr:sp macro="" textlink="">
      <xdr:nvSpPr>
        <xdr:cNvPr id="10" name="Rectangle: Rounded Corners 9">
          <a:extLst>
            <a:ext uri="{FF2B5EF4-FFF2-40B4-BE49-F238E27FC236}">
              <a16:creationId xmlns:a16="http://schemas.microsoft.com/office/drawing/2014/main" id="{73ABF126-AFE8-407B-ADD3-DD6CA9917303}"/>
            </a:ext>
          </a:extLst>
        </xdr:cNvPr>
        <xdr:cNvSpPr/>
      </xdr:nvSpPr>
      <xdr:spPr>
        <a:xfrm>
          <a:off x="9220200" y="238125"/>
          <a:ext cx="2562225" cy="771525"/>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5.53</a:t>
          </a:r>
        </a:p>
        <a:p>
          <a:pPr algn="ctr"/>
          <a:r>
            <a:rPr lang="en-US" sz="1600" b="1" baseline="0">
              <a:solidFill>
                <a:schemeClr val="tx1"/>
              </a:solidFill>
            </a:rPr>
            <a:t>order to  Delivery Time </a:t>
          </a:r>
          <a:endParaRPr lang="en-US" sz="1600" b="1">
            <a:solidFill>
              <a:schemeClr val="tx1"/>
            </a:solidFill>
          </a:endParaRPr>
        </a:p>
      </xdr:txBody>
    </xdr:sp>
    <xdr:clientData/>
  </xdr:twoCellAnchor>
  <xdr:twoCellAnchor>
    <xdr:from>
      <xdr:col>19</xdr:col>
      <xdr:colOff>342900</xdr:colOff>
      <xdr:row>1</xdr:row>
      <xdr:rowOff>57150</xdr:rowOff>
    </xdr:from>
    <xdr:to>
      <xdr:col>23</xdr:col>
      <xdr:colOff>466725</xdr:colOff>
      <xdr:row>5</xdr:row>
      <xdr:rowOff>66675</xdr:rowOff>
    </xdr:to>
    <xdr:sp macro="" textlink="">
      <xdr:nvSpPr>
        <xdr:cNvPr id="11" name="Rectangle: Rounded Corners 10">
          <a:extLst>
            <a:ext uri="{FF2B5EF4-FFF2-40B4-BE49-F238E27FC236}">
              <a16:creationId xmlns:a16="http://schemas.microsoft.com/office/drawing/2014/main" id="{514B3C00-A961-4221-AF0B-05969A89B700}"/>
            </a:ext>
          </a:extLst>
        </xdr:cNvPr>
        <xdr:cNvSpPr/>
      </xdr:nvSpPr>
      <xdr:spPr>
        <a:xfrm>
          <a:off x="11925300" y="247650"/>
          <a:ext cx="2562225" cy="771525"/>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3,520.98</a:t>
          </a:r>
        </a:p>
        <a:p>
          <a:pPr algn="ctr"/>
          <a:r>
            <a:rPr lang="en-US" sz="1600" b="1">
              <a:solidFill>
                <a:schemeClr val="tx1"/>
              </a:solidFill>
            </a:rPr>
            <a:t>Avg.</a:t>
          </a:r>
          <a:r>
            <a:rPr lang="en-US" sz="1600" b="1" baseline="0">
              <a:solidFill>
                <a:schemeClr val="tx1"/>
              </a:solidFill>
            </a:rPr>
            <a:t> Customer's spent</a:t>
          </a:r>
          <a:endParaRPr lang="en-US" sz="1600" b="1">
            <a:solidFill>
              <a:schemeClr val="tx1"/>
            </a:solidFill>
          </a:endParaRPr>
        </a:p>
      </xdr:txBody>
    </xdr:sp>
    <xdr:clientData/>
  </xdr:twoCellAnchor>
  <xdr:twoCellAnchor editAs="oneCell">
    <xdr:from>
      <xdr:col>24</xdr:col>
      <xdr:colOff>9524</xdr:colOff>
      <xdr:row>17</xdr:row>
      <xdr:rowOff>133351</xdr:rowOff>
    </xdr:from>
    <xdr:to>
      <xdr:col>27</xdr:col>
      <xdr:colOff>342900</xdr:colOff>
      <xdr:row>37</xdr:row>
      <xdr:rowOff>171451</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3C74235E-7F72-4954-8350-73DE90B3C63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639924" y="3371851"/>
              <a:ext cx="2162176" cy="384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590550</xdr:colOff>
      <xdr:row>1</xdr:row>
      <xdr:rowOff>66675</xdr:rowOff>
    </xdr:from>
    <xdr:to>
      <xdr:col>27</xdr:col>
      <xdr:colOff>304800</xdr:colOff>
      <xdr:row>9</xdr:row>
      <xdr:rowOff>66675</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F5C341C8-999F-E761-AB92-D9F00700D79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611350" y="257175"/>
              <a:ext cx="215265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19050</xdr:colOff>
      <xdr:row>9</xdr:row>
      <xdr:rowOff>161925</xdr:rowOff>
    </xdr:from>
    <xdr:to>
      <xdr:col>27</xdr:col>
      <xdr:colOff>352425</xdr:colOff>
      <xdr:row>17</xdr:row>
      <xdr:rowOff>9525</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76F34451-7F46-9BC9-4114-30D238CD4B2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649450" y="1876425"/>
              <a:ext cx="21621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352426</xdr:colOff>
      <xdr:row>1</xdr:row>
      <xdr:rowOff>38100</xdr:rowOff>
    </xdr:from>
    <xdr:to>
      <xdr:col>6</xdr:col>
      <xdr:colOff>104776</xdr:colOff>
      <xdr:row>5</xdr:row>
      <xdr:rowOff>47625</xdr:rowOff>
    </xdr:to>
    <xdr:sp macro="" textlink="">
      <xdr:nvSpPr>
        <xdr:cNvPr id="19" name="Rectangle: Rounded Corners 18">
          <a:extLst>
            <a:ext uri="{FF2B5EF4-FFF2-40B4-BE49-F238E27FC236}">
              <a16:creationId xmlns:a16="http://schemas.microsoft.com/office/drawing/2014/main" id="{C7621887-71C9-41C1-9DE6-6CC87FF693A1}"/>
            </a:ext>
          </a:extLst>
        </xdr:cNvPr>
        <xdr:cNvSpPr/>
      </xdr:nvSpPr>
      <xdr:spPr>
        <a:xfrm>
          <a:off x="962026" y="228600"/>
          <a:ext cx="2800350" cy="771525"/>
        </a:xfrm>
        <a:prstGeom prst="roundRect">
          <a:avLst/>
        </a:prstGeom>
        <a:solidFill>
          <a:schemeClr val="accent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tx1"/>
            </a:solidFill>
          </a:endParaRPr>
        </a:p>
        <a:p>
          <a:pPr algn="r"/>
          <a:r>
            <a:rPr lang="en-US" sz="2000" b="1">
              <a:solidFill>
                <a:schemeClr val="tx1"/>
              </a:solidFill>
            </a:rPr>
            <a:t>Sales</a:t>
          </a:r>
          <a:r>
            <a:rPr lang="en-US" sz="2000" b="1" baseline="0">
              <a:solidFill>
                <a:schemeClr val="tx1"/>
              </a:solidFill>
            </a:rPr>
            <a:t> Analysis</a:t>
          </a:r>
          <a:endParaRPr lang="en-US" sz="2000" b="1">
            <a:solidFill>
              <a:schemeClr val="tx1"/>
            </a:solidFill>
          </a:endParaRPr>
        </a:p>
      </xdr:txBody>
    </xdr:sp>
    <xdr:clientData/>
  </xdr:twoCellAnchor>
  <xdr:twoCellAnchor editAs="oneCell">
    <xdr:from>
      <xdr:col>2</xdr:col>
      <xdr:colOff>47626</xdr:colOff>
      <xdr:row>1</xdr:row>
      <xdr:rowOff>171451</xdr:rowOff>
    </xdr:from>
    <xdr:to>
      <xdr:col>3</xdr:col>
      <xdr:colOff>200026</xdr:colOff>
      <xdr:row>4</xdr:row>
      <xdr:rowOff>171451</xdr:rowOff>
    </xdr:to>
    <xdr:pic>
      <xdr:nvPicPr>
        <xdr:cNvPr id="21" name="Picture 20">
          <a:extLst>
            <a:ext uri="{FF2B5EF4-FFF2-40B4-BE49-F238E27FC236}">
              <a16:creationId xmlns:a16="http://schemas.microsoft.com/office/drawing/2014/main" id="{20786313-A637-AA18-51E5-FC6235B4B5D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66826" y="361951"/>
          <a:ext cx="762000" cy="571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5763891" backgroundQuery="1" createdVersion="8" refreshedVersion="8" minRefreshableVersion="3" recordCount="0" supportSubquery="1" supportAdvancedDrill="1" xr:uid="{B3ECCDA6-79A3-438A-8EAF-4A67CED24479}">
  <cacheSource type="external" connectionId="5"/>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oustomer].[Customer_ID]" caption="Customer_ID" attribute="1" defaultMemberUniqueName="[coustomer].[Customer_ID].[All]" allUniqueName="[coustomer].[Customer_ID].[All]" dimensionUniqueName="[coustomer]" displayFolder="" count="2" memberValueDatatype="130" unbalanced="0"/>
    <cacheHierarchy uniqueName="[coustomer].[Name]" caption="Name" attribute="1" defaultMemberUniqueName="[coustomer].[Name].[All]" allUniqueName="[coustomer].[Name].[All]" dimensionUniqueName="[coustomer]" displayFolder="" count="2" memberValueDatatype="130" unbalanced="0"/>
    <cacheHierarchy uniqueName="[coustomer].[City]" caption="City" attribute="1" defaultMemberUniqueName="[coustomer].[City].[All]" allUniqueName="[coustomer].[City].[All]" dimensionUniqueName="[coustomer]" displayFolder="" count="2" memberValueDatatype="130" unbalanced="0"/>
    <cacheHierarchy uniqueName="[coustomer].[Contact_Number]" caption="Contact_Number" attribute="1" defaultMemberUniqueName="[coustomer].[Contact_Number].[All]" allUniqueName="[coustomer].[Contact_Number].[All]" dimensionUniqueName="[coustomer]" displayFolder="" count="2" memberValueDatatype="130" unbalanced="0"/>
    <cacheHierarchy uniqueName="[coustomer].[Email]" caption="Email" attribute="1" defaultMemberUniqueName="[coustomer].[Email].[All]" allUniqueName="[coustomer].[Email].[All]" dimensionUniqueName="[coustomer]" displayFolder="" count="2" memberValueDatatype="130" unbalanced="0"/>
    <cacheHierarchy uniqueName="[coustomer].[Gender]" caption="Gender" attribute="1" defaultMemberUniqueName="[coustomer].[Gender].[All]" allUniqueName="[coustomer].[Gender].[All]" dimensionUniqueName="[coustomer]" displayFolder="" count="2" memberValueDatatype="130" unbalanced="0"/>
    <cacheHierarchy uniqueName="[coustomer].[Address]" caption="Address" attribute="1" defaultMemberUniqueName="[coustomer].[Address].[All]" allUniqueName="[coustomer].[Address].[All]" dimensionUniqueName="[co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2" memberValueDatatype="20" unbalanced="0"/>
    <cacheHierarchy uniqueName="[orders].[diff_orders_delivery]" caption="diff_orders_delivery" attribute="1" defaultMemberUniqueName="[orders].[diff_orders_delivery].[All]" allUniqueName="[orders].[diff_orders_delivery].[All]" dimensionUniqueName="[orders]" displayFolder="" count="2" memberValueDatatype="20" unbalanced="0"/>
    <cacheHierarchy uniqueName="[orders].[(Hour (dilvery time)]" caption="(Hour (dilvery time)" attribute="1" defaultMemberUniqueName="[orders].[(Hour (dilvery time)].[All]" allUniqueName="[orders].[(Hour (dil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nme(orders Date)]" caption="Day nanme(orders Date)" attribute="1" defaultMemberUniqueName="[orders].[Day nanme(orders Date)].[All]" allUniqueName="[orders].[Day nanme(orders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2986111" backgroundQuery="1" createdVersion="8" refreshedVersion="8" minRefreshableVersion="3" recordCount="0" supportSubquery="1" supportAdvancedDrill="1" xr:uid="{B9B80AF1-08BF-478D-84B7-4B17A243F07D}">
  <cacheSource type="external" connectionId="5"/>
  <cacheFields count="1">
    <cacheField name="[Measures].[Sum of Revenue]" caption="Sum of Revenue" numFmtId="0" hierarchy="43" level="32767"/>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29976849" backgroundQuery="1" createdVersion="8" refreshedVersion="8" minRefreshableVersion="3" recordCount="0" supportSubquery="1" supportAdvancedDrill="1" xr:uid="{67785845-605D-47A7-923D-6C0435F41A5A}">
  <cacheSource type="external" connectionId="5"/>
  <cacheFields count="1">
    <cacheField name="[Measures].[Count of Revenue]" caption="Count of Revenue" numFmtId="0" hierarchy="49" level="32767"/>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090278" backgroundQuery="1" createdVersion="8" refreshedVersion="8" minRefreshableVersion="3" recordCount="0" supportSubquery="1" supportAdvancedDrill="1" xr:uid="{AB05D61E-8520-4BB8-BBA1-0A6B09B761FC}">
  <cacheSource type="external" connectionId="5"/>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148148" backgroundQuery="1" createdVersion="8" refreshedVersion="8" minRefreshableVersion="3" recordCount="0" supportSubquery="1" supportAdvancedDrill="1" xr:uid="{1F0D579E-1F5D-40F0-A926-E583E9C39481}">
  <cacheSource type="external" connectionId="5"/>
  <cacheFields count="2">
    <cacheField name="[Measures].[Sum of Revenue]" caption="Sum of Revenue" numFmtId="0" hierarchy="43" level="32767"/>
    <cacheField name="[Measures].[Average of diff_orders_delivery]" caption="Average of diff_orders_delivery" numFmtId="0" hierarchy="45" level="32767"/>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2175927" backgroundQuery="1" createdVersion="8" refreshedVersion="8" minRefreshableVersion="3" recordCount="0" supportSubquery="1" supportAdvancedDrill="1" xr:uid="{8313F6C0-22ED-461C-96C2-AB9CE3DA0EFE}">
  <cacheSource type="external" connectionId="5"/>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2407404" backgroundQuery="1" createdVersion="8" refreshedVersion="8" minRefreshableVersion="3" recordCount="0" supportSubquery="1" supportAdvancedDrill="1" xr:uid="{1471AB69-D3C2-48A8-8189-D60024813AE7}">
  <cacheSource type="external" connectionId="5"/>
  <cacheFields count="1">
    <cacheField name="[Measures].[Average of Revenue]" caption="Average of Revenue" numFmtId="0" hierarchy="46" level="32767"/>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3217589" backgroundQuery="1" createdVersion="8" refreshedVersion="8" minRefreshableVersion="3" recordCount="0" supportSubquery="1" supportAdvancedDrill="1" xr:uid="{F51FB369-9B8E-409A-B6CB-20B48FE8F3E0}">
  <cacheSource type="external" connectionId="5"/>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3912036" backgroundQuery="1" createdVersion="8" refreshedVersion="8" minRefreshableVersion="3" recordCount="0" supportSubquery="1" supportAdvancedDrill="1" xr:uid="{7410076E-95CA-4795-899D-73233A97C727}">
  <cacheSource type="external" connectionId="5"/>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co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2" memberValueDatatype="130" unbalanced="0">
      <fieldsUsage count="2">
        <fieldUsage x="-1"/>
        <fieldUsage x="2"/>
      </fieldsUsage>
    </cacheHierarchy>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15.88433483796" backgroundQuery="1" createdVersion="8" refreshedVersion="8" minRefreshableVersion="3" recordCount="0" supportSubquery="1" supportAdvancedDrill="1" xr:uid="{47F208B6-0368-4B91-831D-3B5B70032E7E}">
  <cacheSource type="external" connectionId="5"/>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Day nanme(orders Date)].[Day nanme(orders Date)]" caption="Day nanme(orders Date)" numFmtId="0" hierarchy="30" level="1">
      <sharedItems count="7">
        <s v="Friday"/>
        <s v="Monday"/>
        <s v="Saturday"/>
        <s v="Sunday"/>
        <s v="Thursday"/>
        <s v="Tuesday"/>
        <s v="Wednesday"/>
      </sharedItems>
    </cacheField>
  </cacheFields>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oustomer" uniqueName="[coustomer]" caption="co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ustomer" caption="co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5.851122222222" backgroundQuery="1" createdVersion="3" refreshedVersion="8" minRefreshableVersion="3" recordCount="0" supportSubquery="1" supportAdvancedDrill="1" xr:uid="{2920E664-624E-467F-85F3-034C617A3C03}">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5747787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5.873007523151" backgroundQuery="1" createdVersion="3" refreshedVersion="8" minRefreshableVersion="3" recordCount="0" supportSubquery="1" supportAdvancedDrill="1" xr:uid="{E5AEB239-78A0-4EA7-A087-0771D5CE5487}">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s_delivery]" caption="diff_orders_delivery" attribute="1" defaultMemberUniqueName="[orders].[diff_orders_delivery].[All]" allUniqueName="[orders].[diff_orders_delivery].[All]" dimensionUniqueName="[orders]" displayFolder="" count="0" memberValueDatatype="20" unbalanced="0"/>
    <cacheHierarchy uniqueName="[orders].[(Hour (dilvery time)]" caption="(Hour (dilvery time)" attribute="1" defaultMemberUniqueName="[orders].[(Hour (dilvery time)].[All]" allUniqueName="[orders].[(Hour (dil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nme(orders Date)]" caption="Day nanme(orders Date)" attribute="1" defaultMemberUniqueName="[orders].[Day nanme(orders Date)].[All]" allUniqueName="[orders].[Day nanme(orders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s_delivery]" caption="Sum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s_delivery]" caption="Average of diff_orders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6184056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D430B-2B01-44FB-8620-D68FEB026D7D}" name="PivotTable7" cacheId="7"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7" rowHeaderCaption="category">
  <location ref="G10:H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7" filterVal="7"/>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E44FC-0BCB-498C-9785-52E4DC75125E}" name="PivotTable4" cacheId="5"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3" rowHeaderCaption="category">
  <location ref="D7:E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5F658-4CA5-49BF-A407-9721A48032DB}" name="PivotTable8" cacheId="8"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4" rowHeaderCaption="category">
  <location ref="D26:E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43">
      <autoFilter ref="A1">
        <filterColumn colId="0">
          <top10 val="7" filterVal="7"/>
        </filterColumn>
      </autoFilter>
    </filter>
    <filter fld="2"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7F7839-C695-4E08-A9CD-024ECF0ACC5E}" name="PivotTable9" cacheId="9"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11" rowHeaderCaption="category">
  <location ref="J21:K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 chart="5" format="12">
      <pivotArea type="data" outline="0" fieldPosition="0">
        <references count="2">
          <reference field="4294967294" count="1" selected="0">
            <x v="0"/>
          </reference>
          <reference field="3" count="1" selected="0">
            <x v="2"/>
          </reference>
        </references>
      </pivotArea>
    </chartFormat>
    <chartFormat chart="5" format="13">
      <pivotArea type="data" outline="0" fieldPosition="0">
        <references count="2">
          <reference field="4294967294" count="1" selected="0">
            <x v="0"/>
          </reference>
          <reference field="3" count="1" selected="0">
            <x v="3"/>
          </reference>
        </references>
      </pivotArea>
    </chartFormat>
    <chartFormat chart="5" format="14">
      <pivotArea type="data" outline="0" fieldPosition="0">
        <references count="2">
          <reference field="4294967294" count="1" selected="0">
            <x v="0"/>
          </reference>
          <reference field="3" count="1" selected="0">
            <x v="4"/>
          </reference>
        </references>
      </pivotArea>
    </chartFormat>
    <chartFormat chart="5" format="15">
      <pivotArea type="data" outline="0" fieldPosition="0">
        <references count="2">
          <reference field="4294967294" count="1" selected="0">
            <x v="0"/>
          </reference>
          <reference field="3" count="1" selected="0">
            <x v="5"/>
          </reference>
        </references>
      </pivotArea>
    </chartFormat>
    <chartFormat chart="5" format="16">
      <pivotArea type="data" outline="0" fieldPosition="0">
        <references count="2">
          <reference field="4294967294" count="1" selected="0">
            <x v="0"/>
          </reference>
          <reference field="3"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7" filterVal="7"/>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70EC6-77E5-480E-B38B-EA643310B2EA}" name="PivotTable5" cacheId="6" applyNumberFormats="0" applyBorderFormats="0" applyFontFormats="0" applyPatternFormats="0" applyAlignmentFormats="0" applyWidthHeightFormats="1" dataCaption="Values" tag="23652cae-fa82-455b-b852-dc9adae01891" updatedVersion="8" minRefreshableVersion="5" useAutoFormatting="1" subtotalHiddenItems="1" itemPrintTitles="1" createdVersion="8" indent="0" outline="1" outlineData="1" multipleFieldFilters="0" rowHeaderCaption="gender">
  <location ref="F1:F2" firstHeaderRow="1" firstDataRow="1" firstDataCol="0"/>
  <pivotFields count="1">
    <pivotField dataField="1" subtotalTop="0" showAll="0" defaultSubtotal="0"/>
  </pivotFields>
  <rowItems count="1">
    <i/>
  </rowItems>
  <colItems count="1">
    <i/>
  </colItems>
  <dataFields count="1">
    <dataField name="Average of coustomer spending"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l Revenue"/>
    <pivotHierarchy dragToData="1"/>
    <pivotHierarchy dragToData="1" caption="Average of diff_orders_delivery"/>
    <pivotHierarchy dragToData="1" caption="Average of co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8BCD54-DDD2-4CBA-931D-241D89032CCE}" name="PivotTable10" cacheId="2" applyNumberFormats="0" applyBorderFormats="0" applyFontFormats="0" applyPatternFormats="0" applyAlignmentFormats="0" applyWidthHeightFormats="1" dataCaption="Values" tag="f7445d99-f14f-4302-9ac9-81b4173e2a50" updatedVersion="8" minRefreshableVersion="5" useAutoFormatting="1" subtotalHiddenItems="1" itemPrintTitles="1" createdVersion="8" indent="0" outline="1" outlineData="1" multipleFieldFilters="0" rowHeaderCaption="gender">
  <location ref="H1:H2"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caption="total order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C0F7FF-E214-40EF-87EE-990E5FF1891E}" name="PivotTable3" cacheId="4" applyNumberFormats="0" applyBorderFormats="0" applyFontFormats="0" applyPatternFormats="0" applyAlignmentFormats="0" applyWidthHeightFormats="1" dataCaption="Values" tag="23652cae-fa82-455b-b852-dc9adae01891" updatedVersion="8" minRefreshableVersion="5" useAutoFormatting="1" subtotalHiddenItems="1" itemPrintTitles="1" createdVersion="8" indent="0" outline="1" outlineData="1" multipleFieldFilters="0" rowHeaderCaption="gender">
  <location ref="D1:E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l Revenue" fld="0" baseField="0" baseItem="1"/>
    <dataField name="Average of diff_orders_delivery" fld="1" subtotal="average" baseField="0" baseItem="1"/>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l Revenue"/>
    <pivotHierarchy dragToData="1"/>
    <pivotHierarchy dragToData="1" caption="Average of diff_orders_delivery"/>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132906-8956-47EE-8788-0A051F7D0F4F}" name="PivotTable6" cacheId="0"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3" rowHeaderCaption="category">
  <location ref="D16:E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7" filterVal="7"/>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8D908D-F565-4321-807A-645682B4AC29}" name="PivotTable2" cacheId="3" applyNumberFormats="0" applyBorderFormats="0" applyFontFormats="0" applyPatternFormats="0" applyAlignmentFormats="0" applyWidthHeightFormats="1" dataCaption="Values" tag="e7f18194-8191-481b-a180-11bada5baf13" updatedVersion="8" minRefreshableVersion="5" useAutoFormatting="1" itemPrintTitles="1" createdVersion="8" indent="0" outline="1" outlineData="1" multipleFieldFilters="0" chartFormat="3" rowHeaderCaption="category">
  <location ref="A7:B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26BE06-E75E-4D56-B9F1-E2FFF2B47F23}" name="PivotTable1" cacheId="1" applyNumberFormats="0" applyBorderFormats="0" applyFontFormats="0" applyPatternFormats="0" applyAlignmentFormats="0" applyWidthHeightFormats="1" dataCaption="Values" tag="f7445d99-f14f-4302-9ac9-81b4173e2a50" updatedVersion="8" minRefreshableVersion="5" useAutoFormatting="1" subtotalHiddenItems="1" itemPrintTitles="1" createdVersion="8" indent="0" outline="1" outlineData="1" multipleFieldFilters="0" rowHeaderCaption="gender">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3786361-F498-42F3-AC26-B23841B9CA79}" sourceName="[orders].[Occasion]">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8"/>
    <pivotTable tabId="1" name="PivotTable9"/>
  </pivotTables>
  <data>
    <olap pivotCacheId="205747787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234FB8-A6B1-4DF5-ACE0-E06E049767F7}"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AD972E3-C868-48F4-9B3B-1409E7CC5E35}" cache="Slicer_Occasion" caption="Occasion" level="1" rowHeight="3960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2693419-DBFB-498E-B4B0-144ED3BAB5D4}" sourceName="[orders].[Order_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6184056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472D952-F831-4F5E-8AC0-2248B8821115}" sourceName="[orders].[Delivery_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6184056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6E84FAD-8D59-4CAE-B64A-131FBD61BDCE}" cache="Timeline_Order_Date" caption="Order_Date" level="3" selectionLevel="3" scrollPosition="2023-02-07T00:00:00"/>
  <timeline name="Delivery_Date" xr10:uid="{4984553F-BD3A-415D-AE63-87E6FCFB94E9}"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A925-1E46-4E7C-99AC-4CD5FCDBDD55}">
  <dimension ref="A1:K37"/>
  <sheetViews>
    <sheetView zoomScale="110" zoomScaleNormal="110" workbookViewId="0">
      <selection sqref="A1:A1048576"/>
    </sheetView>
  </sheetViews>
  <sheetFormatPr defaultRowHeight="15" x14ac:dyDescent="0.25"/>
  <cols>
    <col min="1" max="1" width="20.28515625" customWidth="1"/>
    <col min="2" max="2" width="15.5703125" bestFit="1" customWidth="1"/>
    <col min="3" max="3" width="9.140625" customWidth="1"/>
    <col min="4" max="4" width="15.42578125" bestFit="1" customWidth="1"/>
    <col min="5" max="5" width="15.5703125" bestFit="1" customWidth="1"/>
    <col min="6" max="6" width="29.7109375" bestFit="1" customWidth="1"/>
    <col min="7" max="7" width="15.42578125" bestFit="1" customWidth="1"/>
    <col min="8" max="8" width="15.5703125" bestFit="1" customWidth="1"/>
    <col min="9" max="9" width="8.7109375" customWidth="1"/>
    <col min="10" max="10" width="11.42578125" bestFit="1" customWidth="1"/>
    <col min="11" max="11" width="15.5703125" bestFit="1" customWidth="1"/>
    <col min="12" max="31" width="4" bestFit="1" customWidth="1"/>
    <col min="32" max="71" width="5" bestFit="1" customWidth="1"/>
    <col min="72" max="72" width="11.28515625" bestFit="1" customWidth="1"/>
  </cols>
  <sheetData>
    <row r="1" spans="1:8" x14ac:dyDescent="0.25">
      <c r="A1" t="s">
        <v>50</v>
      </c>
      <c r="B1">
        <v>1</v>
      </c>
      <c r="C1">
        <v>2</v>
      </c>
      <c r="D1" t="s">
        <v>52</v>
      </c>
      <c r="E1" t="s">
        <v>51</v>
      </c>
      <c r="F1" t="s">
        <v>55</v>
      </c>
      <c r="H1" t="s">
        <v>63</v>
      </c>
    </row>
    <row r="2" spans="1:8" x14ac:dyDescent="0.25">
      <c r="A2" s="3">
        <v>3520984</v>
      </c>
      <c r="D2" s="3">
        <v>3520984</v>
      </c>
      <c r="E2">
        <v>5.53</v>
      </c>
      <c r="F2" s="3">
        <v>3520.9839999999999</v>
      </c>
      <c r="H2">
        <v>1000</v>
      </c>
    </row>
    <row r="6" spans="1:8" x14ac:dyDescent="0.25">
      <c r="A6" t="s">
        <v>53</v>
      </c>
      <c r="D6" t="s">
        <v>54</v>
      </c>
      <c r="G6" t="s">
        <v>59</v>
      </c>
    </row>
    <row r="7" spans="1:8" x14ac:dyDescent="0.25">
      <c r="A7" s="1" t="s">
        <v>41</v>
      </c>
      <c r="B7" t="s">
        <v>49</v>
      </c>
      <c r="D7" s="1" t="s">
        <v>41</v>
      </c>
      <c r="E7" t="s">
        <v>49</v>
      </c>
      <c r="G7" t="e">
        <f>CORREL(#REF!,#REF!)</f>
        <v>#REF!</v>
      </c>
    </row>
    <row r="8" spans="1:8" x14ac:dyDescent="0.25">
      <c r="A8" s="2" t="s">
        <v>26</v>
      </c>
      <c r="B8" s="3">
        <v>95468</v>
      </c>
      <c r="D8" s="2" t="s">
        <v>36</v>
      </c>
      <c r="E8" s="3">
        <v>97665</v>
      </c>
    </row>
    <row r="9" spans="1:8" x14ac:dyDescent="0.25">
      <c r="A9" s="2" t="s">
        <v>11</v>
      </c>
      <c r="B9" s="3">
        <v>704509</v>
      </c>
      <c r="D9" s="2" t="s">
        <v>39</v>
      </c>
      <c r="E9" s="3">
        <v>106624</v>
      </c>
      <c r="G9" t="s">
        <v>60</v>
      </c>
    </row>
    <row r="10" spans="1:8" x14ac:dyDescent="0.25">
      <c r="A10" s="2" t="s">
        <v>16</v>
      </c>
      <c r="B10" s="3">
        <v>511823</v>
      </c>
      <c r="D10" s="2" t="s">
        <v>38</v>
      </c>
      <c r="E10" s="3">
        <v>101556</v>
      </c>
      <c r="G10" s="1" t="s">
        <v>41</v>
      </c>
      <c r="H10" t="s">
        <v>49</v>
      </c>
    </row>
    <row r="11" spans="1:8" x14ac:dyDescent="0.25">
      <c r="A11" s="2" t="s">
        <v>22</v>
      </c>
      <c r="B11" s="3">
        <v>140393</v>
      </c>
      <c r="D11" s="2" t="s">
        <v>29</v>
      </c>
      <c r="E11" s="3">
        <v>121905</v>
      </c>
      <c r="G11" s="2" t="s">
        <v>13</v>
      </c>
      <c r="H11" s="3">
        <v>586176</v>
      </c>
    </row>
    <row r="12" spans="1:8" x14ac:dyDescent="0.25">
      <c r="A12" s="2" t="s">
        <v>24</v>
      </c>
      <c r="B12" s="3">
        <v>150346</v>
      </c>
      <c r="D12" s="2" t="s">
        <v>37</v>
      </c>
      <c r="E12" s="3">
        <v>114476</v>
      </c>
      <c r="G12" s="2" t="s">
        <v>12</v>
      </c>
      <c r="H12" s="3">
        <v>674634</v>
      </c>
    </row>
    <row r="13" spans="1:8" x14ac:dyDescent="0.25">
      <c r="A13" s="2" t="s">
        <v>25</v>
      </c>
      <c r="B13" s="3">
        <v>157913</v>
      </c>
      <c r="D13" s="2" t="s">
        <v>40</v>
      </c>
      <c r="E13" s="3">
        <v>542226</v>
      </c>
      <c r="G13" s="2" t="s">
        <v>15</v>
      </c>
      <c r="H13" s="3">
        <v>408194</v>
      </c>
    </row>
    <row r="14" spans="1:8" x14ac:dyDescent="0.25">
      <c r="A14" s="2" t="s">
        <v>23</v>
      </c>
      <c r="B14" s="3">
        <v>135826</v>
      </c>
      <c r="G14" s="2" t="s">
        <v>20</v>
      </c>
      <c r="H14" s="3">
        <v>313783</v>
      </c>
    </row>
    <row r="15" spans="1:8" x14ac:dyDescent="0.25">
      <c r="A15" s="2" t="s">
        <v>18</v>
      </c>
      <c r="B15" s="3">
        <v>737389</v>
      </c>
      <c r="D15" s="2" t="s">
        <v>56</v>
      </c>
      <c r="G15" s="2" t="s">
        <v>14</v>
      </c>
      <c r="H15" s="3">
        <v>574682</v>
      </c>
    </row>
    <row r="16" spans="1:8" x14ac:dyDescent="0.25">
      <c r="A16" s="2" t="s">
        <v>27</v>
      </c>
      <c r="B16" s="3">
        <v>136938</v>
      </c>
      <c r="D16" s="1" t="s">
        <v>41</v>
      </c>
      <c r="E16" t="s">
        <v>49</v>
      </c>
      <c r="G16" s="2" t="s">
        <v>17</v>
      </c>
      <c r="H16" s="3">
        <v>631585</v>
      </c>
    </row>
    <row r="17" spans="1:11" x14ac:dyDescent="0.25">
      <c r="A17" s="2" t="s">
        <v>28</v>
      </c>
      <c r="B17" s="3">
        <v>151619</v>
      </c>
      <c r="D17" s="2" t="s">
        <v>34</v>
      </c>
      <c r="E17" s="3">
        <v>329862</v>
      </c>
      <c r="G17" s="2" t="s">
        <v>10</v>
      </c>
      <c r="H17" s="3">
        <v>331930</v>
      </c>
    </row>
    <row r="18" spans="1:11" x14ac:dyDescent="0.25">
      <c r="A18" s="2" t="s">
        <v>19</v>
      </c>
      <c r="B18" s="3">
        <v>449169</v>
      </c>
      <c r="D18" s="2" t="s">
        <v>32</v>
      </c>
      <c r="E18" s="3">
        <v>1005645</v>
      </c>
      <c r="G18" s="2" t="s">
        <v>40</v>
      </c>
      <c r="H18" s="3">
        <v>3520984</v>
      </c>
    </row>
    <row r="19" spans="1:11" x14ac:dyDescent="0.25">
      <c r="A19" s="2" t="s">
        <v>21</v>
      </c>
      <c r="B19" s="3">
        <v>149591</v>
      </c>
      <c r="D19" s="2" t="s">
        <v>35</v>
      </c>
      <c r="E19" s="3">
        <v>201151</v>
      </c>
    </row>
    <row r="20" spans="1:11" x14ac:dyDescent="0.25">
      <c r="A20" s="2" t="s">
        <v>40</v>
      </c>
      <c r="B20" s="3">
        <v>3520984</v>
      </c>
      <c r="D20" s="2" t="s">
        <v>31</v>
      </c>
      <c r="E20" s="3">
        <v>212281</v>
      </c>
      <c r="G20" s="2" t="s">
        <v>61</v>
      </c>
      <c r="J20" t="s">
        <v>62</v>
      </c>
    </row>
    <row r="21" spans="1:11" x14ac:dyDescent="0.25">
      <c r="D21" s="2" t="s">
        <v>17</v>
      </c>
      <c r="E21" s="3">
        <v>297372</v>
      </c>
      <c r="J21" s="1" t="s">
        <v>41</v>
      </c>
      <c r="K21" t="s">
        <v>49</v>
      </c>
    </row>
    <row r="22" spans="1:11" x14ac:dyDescent="0.25">
      <c r="D22" s="2" t="s">
        <v>30</v>
      </c>
      <c r="E22" s="3">
        <v>740831</v>
      </c>
      <c r="J22" s="2" t="s">
        <v>44</v>
      </c>
      <c r="K22" s="3">
        <v>475447</v>
      </c>
    </row>
    <row r="23" spans="1:11" x14ac:dyDescent="0.25">
      <c r="D23" s="2" t="s">
        <v>33</v>
      </c>
      <c r="E23" s="3">
        <v>733842</v>
      </c>
      <c r="J23" s="2" t="s">
        <v>46</v>
      </c>
      <c r="K23" s="3">
        <v>461670</v>
      </c>
    </row>
    <row r="24" spans="1:11" x14ac:dyDescent="0.25">
      <c r="D24" s="2" t="s">
        <v>40</v>
      </c>
      <c r="E24" s="3">
        <v>3520984</v>
      </c>
      <c r="J24" s="2" t="s">
        <v>42</v>
      </c>
      <c r="K24" s="3">
        <v>444960</v>
      </c>
    </row>
    <row r="25" spans="1:11" x14ac:dyDescent="0.25">
      <c r="D25" s="2" t="s">
        <v>57</v>
      </c>
      <c r="J25" s="2" t="s">
        <v>45</v>
      </c>
      <c r="K25" s="3">
        <v>628138</v>
      </c>
    </row>
    <row r="26" spans="1:11" x14ac:dyDescent="0.25">
      <c r="D26" s="1" t="s">
        <v>41</v>
      </c>
      <c r="E26" t="s">
        <v>58</v>
      </c>
      <c r="J26" s="2" t="s">
        <v>48</v>
      </c>
      <c r="K26" s="3">
        <v>418354</v>
      </c>
    </row>
    <row r="27" spans="1:11" x14ac:dyDescent="0.25">
      <c r="D27" s="2" t="s">
        <v>4</v>
      </c>
      <c r="E27">
        <v>18</v>
      </c>
      <c r="J27" s="2" t="s">
        <v>47</v>
      </c>
      <c r="K27" s="3">
        <v>677223</v>
      </c>
    </row>
    <row r="28" spans="1:11" x14ac:dyDescent="0.25">
      <c r="D28" s="2" t="s">
        <v>1</v>
      </c>
      <c r="E28">
        <v>21</v>
      </c>
      <c r="J28" s="2" t="s">
        <v>43</v>
      </c>
      <c r="K28" s="3">
        <v>415192</v>
      </c>
    </row>
    <row r="29" spans="1:11" x14ac:dyDescent="0.25">
      <c r="D29" s="2" t="s">
        <v>0</v>
      </c>
      <c r="E29">
        <v>18</v>
      </c>
      <c r="J29" s="2" t="s">
        <v>40</v>
      </c>
      <c r="K29" s="3">
        <v>3520984</v>
      </c>
    </row>
    <row r="30" spans="1:11" x14ac:dyDescent="0.25">
      <c r="D30" s="2" t="s">
        <v>8</v>
      </c>
      <c r="E30">
        <v>28</v>
      </c>
    </row>
    <row r="31" spans="1:11" x14ac:dyDescent="0.25">
      <c r="D31" s="2" t="s">
        <v>5</v>
      </c>
      <c r="E31">
        <v>21</v>
      </c>
    </row>
    <row r="32" spans="1:11" x14ac:dyDescent="0.25">
      <c r="D32" s="2" t="s">
        <v>6</v>
      </c>
      <c r="E32">
        <v>20</v>
      </c>
    </row>
    <row r="33" spans="4:5" x14ac:dyDescent="0.25">
      <c r="D33" s="2" t="s">
        <v>3</v>
      </c>
      <c r="E33">
        <v>24</v>
      </c>
    </row>
    <row r="34" spans="4:5" x14ac:dyDescent="0.25">
      <c r="D34" s="2" t="s">
        <v>7</v>
      </c>
      <c r="E34">
        <v>29</v>
      </c>
    </row>
    <row r="35" spans="4:5" x14ac:dyDescent="0.25">
      <c r="D35" s="2" t="s">
        <v>2</v>
      </c>
      <c r="E35">
        <v>27</v>
      </c>
    </row>
    <row r="36" spans="4:5" x14ac:dyDescent="0.25">
      <c r="D36" s="2" t="s">
        <v>9</v>
      </c>
      <c r="E36">
        <v>19</v>
      </c>
    </row>
    <row r="37" spans="4:5" x14ac:dyDescent="0.25">
      <c r="D37" s="2" t="s">
        <v>40</v>
      </c>
      <c r="E37">
        <v>225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9CCE-0FEE-4B8A-A515-B6AC9A7F1713}">
  <dimension ref="A1"/>
  <sheetViews>
    <sheetView tabSelected="1" topLeftCell="B1" workbookViewId="0"/>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0605CAE-7CD5-49F2-AACF-771CB4C7C666}">
  <ds:schemaRefs/>
</ds:datastoreItem>
</file>

<file path=customXml/itemProps2.xml><?xml version="1.0" encoding="utf-8"?>
<ds:datastoreItem xmlns:ds="http://schemas.openxmlformats.org/officeDocument/2006/customXml" ds:itemID="{BEF9DE41-3788-4E2C-9B30-266B5EAD4408}">
  <ds:schemaRefs/>
</ds:datastoreItem>
</file>

<file path=customXml/itemProps3.xml><?xml version="1.0" encoding="utf-8"?>
<ds:datastoreItem xmlns:ds="http://schemas.openxmlformats.org/officeDocument/2006/customXml" ds:itemID="{172622A4-D41A-4C59-A364-EC71177EB772}">
  <ds:schemaRefs/>
</ds:datastoreItem>
</file>

<file path=customXml/itemProps4.xml><?xml version="1.0" encoding="utf-8"?>
<ds:datastoreItem xmlns:ds="http://schemas.openxmlformats.org/officeDocument/2006/customXml" ds:itemID="{C3E8E1C0-C3B2-41DF-A3DB-F6A7B7085B58}">
  <ds:schemaRefs/>
</ds:datastoreItem>
</file>

<file path=customXml/itemProps5.xml><?xml version="1.0" encoding="utf-8"?>
<ds:datastoreItem xmlns:ds="http://schemas.openxmlformats.org/officeDocument/2006/customXml" ds:itemID="{DF3E4253-860E-44E1-B370-F19B67D51DC6}">
  <ds:schemaRefs/>
</ds:datastoreItem>
</file>

<file path=customXml/itemProps6.xml><?xml version="1.0" encoding="utf-8"?>
<ds:datastoreItem xmlns:ds="http://schemas.openxmlformats.org/officeDocument/2006/customXml" ds:itemID="{02A8D559-BA69-443B-A071-359A921FB032}">
  <ds:schemaRefs/>
</ds:datastoreItem>
</file>

<file path=customXml/itemProps7.xml><?xml version="1.0" encoding="utf-8"?>
<ds:datastoreItem xmlns:ds="http://schemas.openxmlformats.org/officeDocument/2006/customXml" ds:itemID="{CBB54B4C-5108-4EE8-A964-6890CBBFA822}">
  <ds:schemaRefs/>
</ds:datastoreItem>
</file>

<file path=customXml/itemProps8.xml><?xml version="1.0" encoding="utf-8"?>
<ds:datastoreItem xmlns:ds="http://schemas.openxmlformats.org/officeDocument/2006/customXml" ds:itemID="{1B7CF5A3-29F4-4B8B-9F92-8512DE6B5BE6}">
  <ds:schemaRefs/>
</ds:datastoreItem>
</file>

<file path=customXml/itemProps9.xml><?xml version="1.0" encoding="utf-8"?>
<ds:datastoreItem xmlns:ds="http://schemas.openxmlformats.org/officeDocument/2006/customXml" ds:itemID="{84C163E0-B547-4641-B46A-163C87530461}">
  <ds:schemaRefs/>
</ds:datastoreItem>
</file>

<file path=customXml/itemProps10.xml><?xml version="1.0" encoding="utf-8"?>
<ds:datastoreItem xmlns:ds="http://schemas.openxmlformats.org/officeDocument/2006/customXml" ds:itemID="{E3A9FB7E-1D99-44E7-AF50-B8CF2F476FF3}">
  <ds:schemaRefs/>
</ds:datastoreItem>
</file>

<file path=customXml/itemProps11.xml><?xml version="1.0" encoding="utf-8"?>
<ds:datastoreItem xmlns:ds="http://schemas.openxmlformats.org/officeDocument/2006/customXml" ds:itemID="{2A16D46C-5C29-4860-9479-DF546D406571}">
  <ds:schemaRefs/>
</ds:datastoreItem>
</file>

<file path=customXml/itemProps12.xml><?xml version="1.0" encoding="utf-8"?>
<ds:datastoreItem xmlns:ds="http://schemas.openxmlformats.org/officeDocument/2006/customXml" ds:itemID="{FB52E9EC-C623-4E39-9CE6-63BB30F8123B}">
  <ds:schemaRefs/>
</ds:datastoreItem>
</file>

<file path=customXml/itemProps13.xml><?xml version="1.0" encoding="utf-8"?>
<ds:datastoreItem xmlns:ds="http://schemas.openxmlformats.org/officeDocument/2006/customXml" ds:itemID="{DEED0255-EE21-4A2F-B241-0CF6662A2750}">
  <ds:schemaRefs/>
</ds:datastoreItem>
</file>

<file path=customXml/itemProps14.xml><?xml version="1.0" encoding="utf-8"?>
<ds:datastoreItem xmlns:ds="http://schemas.openxmlformats.org/officeDocument/2006/customXml" ds:itemID="{3392A72E-0DD9-426F-9D5E-442DA89C7C64}">
  <ds:schemaRefs/>
</ds:datastoreItem>
</file>

<file path=customXml/itemProps15.xml><?xml version="1.0" encoding="utf-8"?>
<ds:datastoreItem xmlns:ds="http://schemas.openxmlformats.org/officeDocument/2006/customXml" ds:itemID="{5FB7120F-43E2-4215-8301-D58BA5917EDC}">
  <ds:schemaRefs/>
</ds:datastoreItem>
</file>

<file path=customXml/itemProps16.xml><?xml version="1.0" encoding="utf-8"?>
<ds:datastoreItem xmlns:ds="http://schemas.openxmlformats.org/officeDocument/2006/customXml" ds:itemID="{ED1FF9A4-2BFC-42E8-B7D3-972847B07618}">
  <ds:schemaRefs/>
</ds:datastoreItem>
</file>

<file path=customXml/itemProps17.xml><?xml version="1.0" encoding="utf-8"?>
<ds:datastoreItem xmlns:ds="http://schemas.openxmlformats.org/officeDocument/2006/customXml" ds:itemID="{AE7CB0BA-C3DB-4755-B920-0B1D7043AF96}">
  <ds:schemaRefs/>
</ds:datastoreItem>
</file>

<file path=customXml/itemProps18.xml><?xml version="1.0" encoding="utf-8"?>
<ds:datastoreItem xmlns:ds="http://schemas.openxmlformats.org/officeDocument/2006/customXml" ds:itemID="{0AC0F695-208B-42DE-B08E-6AB6042100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singh</dc:creator>
  <cp:lastModifiedBy>kritika singh</cp:lastModifiedBy>
  <dcterms:created xsi:type="dcterms:W3CDTF">2025-02-14T14:11:39Z</dcterms:created>
  <dcterms:modified xsi:type="dcterms:W3CDTF">2025-11-28T14:55:18Z</dcterms:modified>
</cp:coreProperties>
</file>